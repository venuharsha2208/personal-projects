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ENU HARSHA\OneDrive\Desktop\BIA PROJECT VENU HARSHA\"/>
    </mc:Choice>
  </mc:AlternateContent>
  <xr:revisionPtr revIDLastSave="0" documentId="13_ncr:1_{F5CDB821-478B-40A1-995E-ECE878145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Calculated_Ratios" sheetId="2" r:id="rId2"/>
    <sheet name="PPT_Link_Tab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C31" i="3"/>
  <c r="D30" i="3"/>
  <c r="C30" i="3"/>
  <c r="E29" i="3"/>
  <c r="F24" i="3"/>
  <c r="E24" i="3"/>
  <c r="C23" i="3"/>
  <c r="B23" i="3"/>
  <c r="E21" i="3"/>
  <c r="D21" i="3"/>
  <c r="B16" i="3"/>
  <c r="F15" i="3"/>
  <c r="D14" i="3"/>
  <c r="C14" i="3"/>
  <c r="F8" i="3"/>
  <c r="E8" i="3"/>
  <c r="C7" i="3"/>
  <c r="B7" i="3"/>
  <c r="E5" i="3"/>
  <c r="D5" i="3"/>
  <c r="F43" i="2"/>
  <c r="F38" i="3" s="1"/>
  <c r="E43" i="2"/>
  <c r="E38" i="3" s="1"/>
  <c r="D43" i="2"/>
  <c r="D38" i="3" s="1"/>
  <c r="C43" i="2"/>
  <c r="C38" i="3" s="1"/>
  <c r="B43" i="2"/>
  <c r="B38" i="3" s="1"/>
  <c r="F42" i="2"/>
  <c r="F37" i="3" s="1"/>
  <c r="E42" i="2"/>
  <c r="E37" i="3" s="1"/>
  <c r="D42" i="2"/>
  <c r="D37" i="3" s="1"/>
  <c r="C42" i="2"/>
  <c r="C37" i="3" s="1"/>
  <c r="B42" i="2"/>
  <c r="B37" i="3" s="1"/>
  <c r="F41" i="2"/>
  <c r="F36" i="3" s="1"/>
  <c r="E41" i="2"/>
  <c r="E36" i="3" s="1"/>
  <c r="D41" i="2"/>
  <c r="D36" i="3" s="1"/>
  <c r="C41" i="2"/>
  <c r="C36" i="3" s="1"/>
  <c r="B41" i="2"/>
  <c r="B36" i="3" s="1"/>
  <c r="F35" i="2"/>
  <c r="E35" i="2"/>
  <c r="E31" i="3" s="1"/>
  <c r="D35" i="2"/>
  <c r="D31" i="3" s="1"/>
  <c r="C35" i="2"/>
  <c r="B35" i="2"/>
  <c r="B31" i="3" s="1"/>
  <c r="F34" i="2"/>
  <c r="F30" i="3" s="1"/>
  <c r="E34" i="2"/>
  <c r="E30" i="3" s="1"/>
  <c r="D34" i="2"/>
  <c r="C34" i="2"/>
  <c r="B34" i="2"/>
  <c r="B30" i="3" s="1"/>
  <c r="F33" i="2"/>
  <c r="F29" i="3" s="1"/>
  <c r="E33" i="2"/>
  <c r="D33" i="2"/>
  <c r="D29" i="3" s="1"/>
  <c r="C33" i="2"/>
  <c r="C29" i="3" s="1"/>
  <c r="B33" i="2"/>
  <c r="B29" i="3" s="1"/>
  <c r="F27" i="2"/>
  <c r="E27" i="2"/>
  <c r="D27" i="2"/>
  <c r="D24" i="3" s="1"/>
  <c r="C27" i="2"/>
  <c r="C24" i="3" s="1"/>
  <c r="B27" i="2"/>
  <c r="B24" i="3" s="1"/>
  <c r="F26" i="2"/>
  <c r="F23" i="3" s="1"/>
  <c r="E26" i="2"/>
  <c r="E23" i="3" s="1"/>
  <c r="D26" i="2"/>
  <c r="D23" i="3" s="1"/>
  <c r="C26" i="2"/>
  <c r="B26" i="2"/>
  <c r="F25" i="2"/>
  <c r="F22" i="3" s="1"/>
  <c r="E25" i="2"/>
  <c r="E22" i="3" s="1"/>
  <c r="D25" i="2"/>
  <c r="D22" i="3" s="1"/>
  <c r="C25" i="2"/>
  <c r="C22" i="3" s="1"/>
  <c r="B25" i="2"/>
  <c r="B22" i="3" s="1"/>
  <c r="F24" i="2"/>
  <c r="F21" i="3" s="1"/>
  <c r="E24" i="2"/>
  <c r="D24" i="2"/>
  <c r="C24" i="2"/>
  <c r="C21" i="3" s="1"/>
  <c r="B24" i="2"/>
  <c r="B21" i="3" s="1"/>
  <c r="F18" i="2"/>
  <c r="F16" i="3" s="1"/>
  <c r="E18" i="2"/>
  <c r="E16" i="3" s="1"/>
  <c r="D18" i="2"/>
  <c r="D16" i="3" s="1"/>
  <c r="C18" i="2"/>
  <c r="C16" i="3" s="1"/>
  <c r="B18" i="2"/>
  <c r="F17" i="2"/>
  <c r="E17" i="2"/>
  <c r="E15" i="3" s="1"/>
  <c r="D17" i="2"/>
  <c r="D15" i="3" s="1"/>
  <c r="C17" i="2"/>
  <c r="C15" i="3" s="1"/>
  <c r="B17" i="2"/>
  <c r="B15" i="3" s="1"/>
  <c r="F16" i="2"/>
  <c r="F14" i="3" s="1"/>
  <c r="E16" i="2"/>
  <c r="E14" i="3" s="1"/>
  <c r="D16" i="2"/>
  <c r="C16" i="2"/>
  <c r="B16" i="2"/>
  <c r="B14" i="3" s="1"/>
  <c r="F15" i="2"/>
  <c r="F13" i="3" s="1"/>
  <c r="E15" i="2"/>
  <c r="E13" i="3" s="1"/>
  <c r="D15" i="2"/>
  <c r="D13" i="3" s="1"/>
  <c r="C15" i="2"/>
  <c r="C13" i="3" s="1"/>
  <c r="B15" i="2"/>
  <c r="B13" i="3" s="1"/>
  <c r="F9" i="2"/>
  <c r="E9" i="2"/>
  <c r="D9" i="2"/>
  <c r="D8" i="3" s="1"/>
  <c r="C9" i="2"/>
  <c r="C8" i="3" s="1"/>
  <c r="B9" i="2"/>
  <c r="B8" i="3" s="1"/>
  <c r="F8" i="2"/>
  <c r="F7" i="3" s="1"/>
  <c r="E8" i="2"/>
  <c r="E7" i="3" s="1"/>
  <c r="D8" i="2"/>
  <c r="D7" i="3" s="1"/>
  <c r="C8" i="2"/>
  <c r="B8" i="2"/>
  <c r="F7" i="2"/>
  <c r="F6" i="3" s="1"/>
  <c r="E7" i="2"/>
  <c r="E6" i="3" s="1"/>
  <c r="D7" i="2"/>
  <c r="D6" i="3" s="1"/>
  <c r="C7" i="2"/>
  <c r="C6" i="3" s="1"/>
  <c r="B7" i="2"/>
  <c r="B6" i="3" s="1"/>
  <c r="F6" i="2"/>
  <c r="F5" i="3" s="1"/>
  <c r="E6" i="2"/>
  <c r="D6" i="2"/>
  <c r="C6" i="2"/>
  <c r="C5" i="3" s="1"/>
  <c r="B6" i="2"/>
  <c r="B5" i="3" s="1"/>
</calcChain>
</file>

<file path=xl/sharedStrings.xml><?xml version="1.0" encoding="utf-8"?>
<sst xmlns="http://schemas.openxmlformats.org/spreadsheetml/2006/main" count="137" uniqueCount="66">
  <si>
    <t>Reliance Industries Ltd (Consolidated) — Inputs (Screener + Moneycontrol) FY2021–FY2025</t>
  </si>
  <si>
    <t>Line Item</t>
  </si>
  <si>
    <t>FY2021</t>
  </si>
  <si>
    <t>FY2022</t>
  </si>
  <si>
    <t>FY2023</t>
  </si>
  <si>
    <t>FY2024</t>
  </si>
  <si>
    <t>FY2025</t>
  </si>
  <si>
    <t>Sales (Rs Cr)</t>
  </si>
  <si>
    <t>Operating Profit / EBIT (Rs Cr)</t>
  </si>
  <si>
    <t>Net Profit (Rs Cr)</t>
  </si>
  <si>
    <t>EPS (Rs)</t>
  </si>
  <si>
    <t>Dividend Payout %</t>
  </si>
  <si>
    <t>Equity Capital (Rs Cr)</t>
  </si>
  <si>
    <t>Reserves (Rs Cr)</t>
  </si>
  <si>
    <t>Borrowings (Rs Cr)</t>
  </si>
  <si>
    <t>Other Liabilities (Rs Cr)</t>
  </si>
  <si>
    <t>Total Assets (Rs Cr)</t>
  </si>
  <si>
    <t>Cash from Operating Activity / CFO (Rs Cr)</t>
  </si>
  <si>
    <t>Debtor Days</t>
  </si>
  <si>
    <t>Inventory Days</t>
  </si>
  <si>
    <t>Days Payable</t>
  </si>
  <si>
    <t>Total Current Assets (Rs Cr) — Moneycontrol</t>
  </si>
  <si>
    <t>Inventories (Rs Cr) — Moneycontrol</t>
  </si>
  <si>
    <t>Cash &amp; Cash Equivalents (Rs Cr) — Moneycontrol</t>
  </si>
  <si>
    <t>Total Current Liabilities (Rs Cr) — Moneycontrol</t>
  </si>
  <si>
    <t>Calculated Financial Ratios (All computed using Excel formulas)</t>
  </si>
  <si>
    <t>Liquidity</t>
  </si>
  <si>
    <t>Ratio</t>
  </si>
  <si>
    <t>Current Ratio = Total Current Assets / Total Current Liabilities</t>
  </si>
  <si>
    <t>Quick Ratio = (Current Assets − Inventories) / Current Liabilities</t>
  </si>
  <si>
    <t>Cash Ratio = Cash &amp; Cash Equivalents / Current Liabilities</t>
  </si>
  <si>
    <t>Operating Cash Coverage = CFO / Other Liabilities</t>
  </si>
  <si>
    <t>Profitability Ratios</t>
  </si>
  <si>
    <t>Margins and Returns</t>
  </si>
  <si>
    <t>EBIT Margin = EBIT / Sales</t>
  </si>
  <si>
    <t>Net Profit Margin = Net Profit / Sales</t>
  </si>
  <si>
    <t>ROA = Net Profit / Total Assets</t>
  </si>
  <si>
    <t>ROE = Net Profit / (Equity Capital + Reserves)</t>
  </si>
  <si>
    <t>Efficiency Ratios</t>
  </si>
  <si>
    <t>Turnover and Working Capital Efficiency</t>
  </si>
  <si>
    <t>Asset Turnover = Sales / Total Assets</t>
  </si>
  <si>
    <t>Inventory Turnover = 365 / Inventory Days</t>
  </si>
  <si>
    <t>Receivables Turnover = 365 / Debtor Days</t>
  </si>
  <si>
    <t>DSO (days)</t>
  </si>
  <si>
    <t>Leverage Ratios</t>
  </si>
  <si>
    <t>Capital Structure</t>
  </si>
  <si>
    <t>Debt Ratio = Borrowings / Total Assets</t>
  </si>
  <si>
    <t>Equity Ratio = (Equity+Reserves) / Total Assets</t>
  </si>
  <si>
    <t>Debt-to-Equity = Borrowings / (Equity+Reserves)</t>
  </si>
  <si>
    <t>Market Value Ratios (Indicative — current price basis)</t>
  </si>
  <si>
    <t>Market Ratios</t>
  </si>
  <si>
    <t>P/E = Current Price / EPS</t>
  </si>
  <si>
    <t>Dividend Yield (est.) = (Payout% × EPS) / Price</t>
  </si>
  <si>
    <t>BVPS (₹) = (Equity+Reserves) / Shares Outstanding</t>
  </si>
  <si>
    <t>Year</t>
  </si>
  <si>
    <t>2021</t>
  </si>
  <si>
    <t>2022</t>
  </si>
  <si>
    <t>2023</t>
  </si>
  <si>
    <t>2024</t>
  </si>
  <si>
    <t>2025</t>
  </si>
  <si>
    <t>Slide 4: Profitability Ratios</t>
  </si>
  <si>
    <t>Slide 5: Efficiency Ratios</t>
  </si>
  <si>
    <t>Slide 6: Leverage Ratios</t>
  </si>
  <si>
    <t>Slide 7: Market Value Ratios</t>
  </si>
  <si>
    <t>Tables for PPT (all linked to Calculated_Ratios)</t>
  </si>
  <si>
    <t xml:space="preserve">Slide 3: Liquidity Ratios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</si>
</sst>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2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56" workbookViewId="0">
      <pane xSplit="1" ySplit="7" topLeftCell="B8" activePane="bottomRight" state="frozen"/>
      <selection pane="topRight"/>
      <selection pane="bottomLeft"/>
      <selection pane="bottomRight" activeCell="O21" sqref="O21"/>
    </sheetView>
  </sheetViews>
  <sheetFormatPr defaultRowHeight="14.4" x14ac:dyDescent="0.3"/>
  <cols>
    <col min="1" max="1" width="50" customWidth="1"/>
    <col min="2" max="6" width="10" customWidth="1"/>
  </cols>
  <sheetData>
    <row r="1" spans="1:7" ht="18" x14ac:dyDescent="0.35">
      <c r="A1" s="9" t="s">
        <v>0</v>
      </c>
      <c r="B1" s="10"/>
      <c r="C1" s="10"/>
      <c r="D1" s="10"/>
      <c r="E1" s="10"/>
      <c r="F1" s="10"/>
      <c r="G1" s="10"/>
    </row>
    <row r="3" spans="1:7" x14ac:dyDescent="0.3">
      <c r="A3" s="1"/>
    </row>
    <row r="7" spans="1:7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7" x14ac:dyDescent="0.3">
      <c r="A8" s="3" t="s">
        <v>7</v>
      </c>
      <c r="B8" s="3">
        <v>466307</v>
      </c>
      <c r="C8" s="3">
        <v>694673</v>
      </c>
      <c r="D8" s="3">
        <v>876396</v>
      </c>
      <c r="E8" s="3">
        <v>899041</v>
      </c>
      <c r="F8" s="3">
        <v>962820</v>
      </c>
    </row>
    <row r="9" spans="1:7" x14ac:dyDescent="0.3">
      <c r="A9" s="3" t="s">
        <v>8</v>
      </c>
      <c r="B9" s="3">
        <v>80790</v>
      </c>
      <c r="C9" s="3">
        <v>108581</v>
      </c>
      <c r="D9" s="3">
        <v>142318</v>
      </c>
      <c r="E9" s="3">
        <v>162498</v>
      </c>
      <c r="F9" s="3">
        <v>165598</v>
      </c>
    </row>
    <row r="10" spans="1:7" x14ac:dyDescent="0.3">
      <c r="A10" s="3" t="s">
        <v>9</v>
      </c>
      <c r="B10" s="3">
        <v>53739</v>
      </c>
      <c r="C10" s="3">
        <v>67845</v>
      </c>
      <c r="D10" s="3">
        <v>74088</v>
      </c>
      <c r="E10" s="3">
        <v>79020</v>
      </c>
      <c r="F10" s="3">
        <v>81309</v>
      </c>
    </row>
    <row r="11" spans="1:7" x14ac:dyDescent="0.3">
      <c r="A11" s="3" t="s">
        <v>10</v>
      </c>
      <c r="B11" s="3">
        <v>38.75</v>
      </c>
      <c r="C11" s="3">
        <v>44.87</v>
      </c>
      <c r="D11" s="3">
        <v>49.29</v>
      </c>
      <c r="E11" s="3">
        <v>51.45</v>
      </c>
      <c r="F11" s="3">
        <v>51.47</v>
      </c>
    </row>
    <row r="12" spans="1:7" x14ac:dyDescent="0.3">
      <c r="A12" s="3" t="s">
        <v>11</v>
      </c>
      <c r="B12" s="3">
        <v>0.09</v>
      </c>
      <c r="C12" s="3">
        <v>0.09</v>
      </c>
      <c r="D12" s="3">
        <v>0.09</v>
      </c>
      <c r="E12" s="3">
        <v>0.1</v>
      </c>
      <c r="F12" s="3">
        <v>0.11</v>
      </c>
    </row>
    <row r="13" spans="1:7" x14ac:dyDescent="0.3">
      <c r="A13" s="3" t="s">
        <v>12</v>
      </c>
      <c r="B13" s="3">
        <v>6445</v>
      </c>
      <c r="C13" s="3">
        <v>6765</v>
      </c>
      <c r="D13" s="3">
        <v>6765</v>
      </c>
      <c r="E13" s="3">
        <v>6766</v>
      </c>
      <c r="F13" s="3">
        <v>13532</v>
      </c>
    </row>
    <row r="14" spans="1:7" x14ac:dyDescent="0.3">
      <c r="A14" s="3" t="s">
        <v>13</v>
      </c>
      <c r="B14" s="3">
        <v>693727</v>
      </c>
      <c r="C14" s="3">
        <v>772720</v>
      </c>
      <c r="D14" s="3">
        <v>709106</v>
      </c>
      <c r="E14" s="3">
        <v>786715</v>
      </c>
      <c r="F14" s="3">
        <v>829668</v>
      </c>
    </row>
    <row r="15" spans="1:7" x14ac:dyDescent="0.3">
      <c r="A15" s="3" t="s">
        <v>14</v>
      </c>
      <c r="B15" s="3">
        <v>278962</v>
      </c>
      <c r="C15" s="3">
        <v>319158</v>
      </c>
      <c r="D15" s="3">
        <v>451664</v>
      </c>
      <c r="E15" s="3">
        <v>350719</v>
      </c>
      <c r="F15" s="3">
        <v>374313</v>
      </c>
    </row>
    <row r="16" spans="1:7" x14ac:dyDescent="0.3">
      <c r="A16" s="3" t="s">
        <v>15</v>
      </c>
      <c r="B16" s="3">
        <v>340931</v>
      </c>
      <c r="C16" s="3">
        <v>399979</v>
      </c>
      <c r="D16" s="3">
        <v>438346</v>
      </c>
      <c r="E16" s="3">
        <v>610848</v>
      </c>
      <c r="F16" s="3">
        <v>732200</v>
      </c>
    </row>
    <row r="17" spans="1:6" x14ac:dyDescent="0.3">
      <c r="A17" s="3" t="s">
        <v>16</v>
      </c>
      <c r="B17" s="3">
        <v>1320065</v>
      </c>
      <c r="C17" s="3">
        <v>1498622</v>
      </c>
      <c r="D17" s="3">
        <v>1605882</v>
      </c>
      <c r="E17" s="3">
        <v>1755048</v>
      </c>
      <c r="F17" s="3">
        <v>1949713</v>
      </c>
    </row>
    <row r="18" spans="1:6" x14ac:dyDescent="0.3">
      <c r="A18" s="3" t="s">
        <v>17</v>
      </c>
      <c r="B18" s="3">
        <v>26958</v>
      </c>
      <c r="C18" s="3">
        <v>110654</v>
      </c>
      <c r="D18" s="3">
        <v>115032</v>
      </c>
      <c r="E18" s="3">
        <v>158788</v>
      </c>
      <c r="F18" s="3">
        <v>178703</v>
      </c>
    </row>
    <row r="19" spans="1:6" x14ac:dyDescent="0.3">
      <c r="A19" s="3" t="s">
        <v>18</v>
      </c>
      <c r="B19" s="3">
        <v>15</v>
      </c>
      <c r="C19" s="3">
        <v>12</v>
      </c>
      <c r="D19" s="3">
        <v>12</v>
      </c>
      <c r="E19" s="3">
        <v>13</v>
      </c>
      <c r="F19" s="3">
        <v>16</v>
      </c>
    </row>
    <row r="20" spans="1:6" x14ac:dyDescent="0.3">
      <c r="A20" s="3" t="s">
        <v>19</v>
      </c>
      <c r="B20" s="3">
        <v>102</v>
      </c>
      <c r="C20" s="3">
        <v>83</v>
      </c>
      <c r="D20" s="3">
        <v>87</v>
      </c>
      <c r="E20" s="3">
        <v>95</v>
      </c>
      <c r="F20" s="3">
        <v>85</v>
      </c>
    </row>
    <row r="21" spans="1:6" x14ac:dyDescent="0.3">
      <c r="A21" s="3" t="s">
        <v>20</v>
      </c>
      <c r="B21" s="3">
        <v>136</v>
      </c>
      <c r="C21" s="3">
        <v>123</v>
      </c>
      <c r="D21" s="3">
        <v>91</v>
      </c>
      <c r="E21" s="3">
        <v>111</v>
      </c>
      <c r="F21" s="3">
        <v>108</v>
      </c>
    </row>
    <row r="22" spans="1:6" x14ac:dyDescent="0.3">
      <c r="A22" s="3" t="s">
        <v>21</v>
      </c>
      <c r="B22" s="3">
        <v>373011</v>
      </c>
      <c r="C22" s="3">
        <v>347019</v>
      </c>
      <c r="D22" s="3">
        <v>425296</v>
      </c>
      <c r="E22" s="3">
        <v>470100</v>
      </c>
      <c r="F22" s="3">
        <v>499270</v>
      </c>
    </row>
    <row r="23" spans="1:6" x14ac:dyDescent="0.3">
      <c r="A23" s="3" t="s">
        <v>22</v>
      </c>
      <c r="B23" s="3">
        <v>146062</v>
      </c>
      <c r="C23" s="3">
        <v>152770</v>
      </c>
      <c r="D23" s="3">
        <v>140008</v>
      </c>
      <c r="E23" s="3">
        <v>107778</v>
      </c>
      <c r="F23" s="3">
        <v>81672</v>
      </c>
    </row>
    <row r="24" spans="1:6" x14ac:dyDescent="0.3">
      <c r="A24" s="3" t="s">
        <v>23</v>
      </c>
      <c r="B24" s="3">
        <v>17397</v>
      </c>
      <c r="C24" s="3">
        <v>36178</v>
      </c>
      <c r="D24" s="3">
        <v>68664</v>
      </c>
      <c r="E24" s="3">
        <v>97225</v>
      </c>
      <c r="F24" s="3">
        <v>106502</v>
      </c>
    </row>
    <row r="25" spans="1:6" x14ac:dyDescent="0.3">
      <c r="A25" s="3" t="s">
        <v>24</v>
      </c>
      <c r="B25" s="3">
        <v>277568</v>
      </c>
      <c r="C25" s="3">
        <v>308662</v>
      </c>
      <c r="D25" s="3">
        <v>395744</v>
      </c>
      <c r="E25" s="3">
        <v>397367</v>
      </c>
      <c r="F25" s="3">
        <v>453737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zoomScale="74" workbookViewId="0">
      <pane xSplit="1" ySplit="4" topLeftCell="B24" activePane="bottomRight" state="frozen"/>
      <selection pane="topRight"/>
      <selection pane="bottomLeft"/>
      <selection pane="bottomRight" activeCell="B2" sqref="B2"/>
    </sheetView>
  </sheetViews>
  <sheetFormatPr defaultRowHeight="14.4" x14ac:dyDescent="0.3"/>
  <cols>
    <col min="1" max="6" width="50" customWidth="1"/>
  </cols>
  <sheetData>
    <row r="1" spans="1:8" ht="18" x14ac:dyDescent="0.35">
      <c r="A1" s="9" t="s">
        <v>25</v>
      </c>
      <c r="B1" s="10"/>
      <c r="C1" s="10"/>
      <c r="D1" s="10"/>
      <c r="E1" s="10"/>
      <c r="F1" s="10"/>
      <c r="G1" s="10"/>
      <c r="H1" s="10"/>
    </row>
    <row r="3" spans="1:8" ht="15.6" x14ac:dyDescent="0.3">
      <c r="A3" s="4"/>
    </row>
    <row r="4" spans="1:8" x14ac:dyDescent="0.3">
      <c r="A4" s="1" t="s">
        <v>26</v>
      </c>
    </row>
    <row r="5" spans="1:8" x14ac:dyDescent="0.3">
      <c r="A5" s="2" t="s">
        <v>27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8" ht="28.8" x14ac:dyDescent="0.3">
      <c r="A6" s="3" t="s">
        <v>28</v>
      </c>
      <c r="B6" s="5">
        <f>ROUND(Raw_Data!B22/Raw_Data!B25,2)</f>
        <v>1.34</v>
      </c>
      <c r="C6" s="5">
        <f>ROUND(Raw_Data!C22/Raw_Data!C25,2)</f>
        <v>1.1200000000000001</v>
      </c>
      <c r="D6" s="5">
        <f>ROUND(Raw_Data!D22/Raw_Data!D25,2)</f>
        <v>1.07</v>
      </c>
      <c r="E6" s="5">
        <f>ROUND(Raw_Data!E22/Raw_Data!E25,2)</f>
        <v>1.18</v>
      </c>
      <c r="F6" s="5">
        <f>ROUND(Raw_Data!F22/Raw_Data!F25,2)</f>
        <v>1.1000000000000001</v>
      </c>
    </row>
    <row r="7" spans="1:8" ht="28.8" x14ac:dyDescent="0.3">
      <c r="A7" s="3" t="s">
        <v>29</v>
      </c>
      <c r="B7" s="5">
        <f>ROUND((Raw_Data!B22-Raw_Data!B23)/Raw_Data!B25,2)</f>
        <v>0.82</v>
      </c>
      <c r="C7" s="5">
        <f>ROUND((Raw_Data!C22-Raw_Data!C23)/Raw_Data!C25,2)</f>
        <v>0.63</v>
      </c>
      <c r="D7" s="5">
        <f>ROUND((Raw_Data!D22-Raw_Data!D23)/Raw_Data!D25,2)</f>
        <v>0.72</v>
      </c>
      <c r="E7" s="5">
        <f>ROUND((Raw_Data!E22-Raw_Data!E23)/Raw_Data!E25,2)</f>
        <v>0.91</v>
      </c>
      <c r="F7" s="5">
        <f>ROUND((Raw_Data!F22-Raw_Data!F23)/Raw_Data!F25,2)</f>
        <v>0.92</v>
      </c>
    </row>
    <row r="8" spans="1:8" x14ac:dyDescent="0.3">
      <c r="A8" s="3" t="s">
        <v>30</v>
      </c>
      <c r="B8" s="5">
        <f>ROUND(Raw_Data!B24/Raw_Data!B25,2)</f>
        <v>0.06</v>
      </c>
      <c r="C8" s="5">
        <f>ROUND(Raw_Data!C24/Raw_Data!C25,2)</f>
        <v>0.12</v>
      </c>
      <c r="D8" s="5">
        <f>ROUND(Raw_Data!D24/Raw_Data!D25,2)</f>
        <v>0.17</v>
      </c>
      <c r="E8" s="5">
        <f>ROUND(Raw_Data!E24/Raw_Data!E25,2)</f>
        <v>0.24</v>
      </c>
      <c r="F8" s="5">
        <f>ROUND(Raw_Data!F24/Raw_Data!F25,2)</f>
        <v>0.23</v>
      </c>
    </row>
    <row r="9" spans="1:8" x14ac:dyDescent="0.3">
      <c r="A9" s="3" t="s">
        <v>31</v>
      </c>
      <c r="B9" s="5">
        <f>ROUND(Raw_Data!B18/Raw_Data!B16,2)</f>
        <v>0.08</v>
      </c>
      <c r="C9" s="5">
        <f>ROUND(Raw_Data!C18/Raw_Data!C16,2)</f>
        <v>0.28000000000000003</v>
      </c>
      <c r="D9" s="5">
        <f>ROUND(Raw_Data!D18/Raw_Data!D16,2)</f>
        <v>0.26</v>
      </c>
      <c r="E9" s="5">
        <f>ROUND(Raw_Data!E18/Raw_Data!E16,2)</f>
        <v>0.26</v>
      </c>
      <c r="F9" s="5">
        <f>ROUND(Raw_Data!F18/Raw_Data!F16,2)</f>
        <v>0.24</v>
      </c>
    </row>
    <row r="12" spans="1:8" ht="15.6" x14ac:dyDescent="0.3">
      <c r="A12" s="4" t="s">
        <v>32</v>
      </c>
    </row>
    <row r="13" spans="1:8" x14ac:dyDescent="0.3">
      <c r="A13" s="1" t="s">
        <v>33</v>
      </c>
    </row>
    <row r="14" spans="1:8" x14ac:dyDescent="0.3">
      <c r="A14" s="2" t="s">
        <v>27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8" x14ac:dyDescent="0.3">
      <c r="A15" s="3" t="s">
        <v>34</v>
      </c>
      <c r="B15" s="6">
        <f>ROUND(Raw_Data!B9/Raw_Data!B8,4)</f>
        <v>0.17330000000000001</v>
      </c>
      <c r="C15" s="6">
        <f>ROUND(Raw_Data!C9/Raw_Data!C8,4)</f>
        <v>0.15629999999999999</v>
      </c>
      <c r="D15" s="6">
        <f>ROUND(Raw_Data!D9/Raw_Data!D8,4)</f>
        <v>0.16239999999999999</v>
      </c>
      <c r="E15" s="6">
        <f>ROUND(Raw_Data!E9/Raw_Data!E8,4)</f>
        <v>0.1807</v>
      </c>
      <c r="F15" s="6">
        <f>ROUND(Raw_Data!F9/Raw_Data!F8,4)</f>
        <v>0.17199999999999999</v>
      </c>
    </row>
    <row r="16" spans="1:8" x14ac:dyDescent="0.3">
      <c r="A16" s="3" t="s">
        <v>35</v>
      </c>
      <c r="B16" s="6">
        <f>ROUND(Raw_Data!B10/Raw_Data!B8,4)</f>
        <v>0.1152</v>
      </c>
      <c r="C16" s="6">
        <f>ROUND(Raw_Data!C10/Raw_Data!C8,4)</f>
        <v>9.7699999999999995E-2</v>
      </c>
      <c r="D16" s="6">
        <f>ROUND(Raw_Data!D10/Raw_Data!D8,4)</f>
        <v>8.4500000000000006E-2</v>
      </c>
      <c r="E16" s="6">
        <f>ROUND(Raw_Data!E10/Raw_Data!E8,4)</f>
        <v>8.7900000000000006E-2</v>
      </c>
      <c r="F16" s="6">
        <f>ROUND(Raw_Data!F10/Raw_Data!F8,4)</f>
        <v>8.4400000000000003E-2</v>
      </c>
    </row>
    <row r="17" spans="1:6" x14ac:dyDescent="0.3">
      <c r="A17" s="3" t="s">
        <v>36</v>
      </c>
      <c r="B17" s="6">
        <f>ROUND(Raw_Data!B10/Raw_Data!B17,4)</f>
        <v>4.07E-2</v>
      </c>
      <c r="C17" s="6">
        <f>ROUND(Raw_Data!C10/Raw_Data!C17,4)</f>
        <v>4.53E-2</v>
      </c>
      <c r="D17" s="6">
        <f>ROUND(Raw_Data!D10/Raw_Data!D17,4)</f>
        <v>4.6100000000000002E-2</v>
      </c>
      <c r="E17" s="6">
        <f>ROUND(Raw_Data!E10/Raw_Data!E17,4)</f>
        <v>4.4999999999999998E-2</v>
      </c>
      <c r="F17" s="6">
        <f>ROUND(Raw_Data!F10/Raw_Data!F17,4)</f>
        <v>4.1700000000000001E-2</v>
      </c>
    </row>
    <row r="18" spans="1:6" x14ac:dyDescent="0.3">
      <c r="A18" s="3" t="s">
        <v>37</v>
      </c>
      <c r="B18" s="6">
        <f>ROUND(Raw_Data!B10/(Raw_Data!B13+Raw_Data!B14),4)</f>
        <v>7.6799999999999993E-2</v>
      </c>
      <c r="C18" s="6">
        <f>ROUND(Raw_Data!C10/(Raw_Data!C13+Raw_Data!C14),4)</f>
        <v>8.6999999999999994E-2</v>
      </c>
      <c r="D18" s="6">
        <f>ROUND(Raw_Data!D10/(Raw_Data!D13+Raw_Data!D14),4)</f>
        <v>0.10349999999999999</v>
      </c>
      <c r="E18" s="6">
        <f>ROUND(Raw_Data!E10/(Raw_Data!E13+Raw_Data!E14),4)</f>
        <v>9.9599999999999994E-2</v>
      </c>
      <c r="F18" s="6">
        <f>ROUND(Raw_Data!F10/(Raw_Data!F13+Raw_Data!F14),4)</f>
        <v>9.64E-2</v>
      </c>
    </row>
    <row r="21" spans="1:6" ht="15.6" x14ac:dyDescent="0.3">
      <c r="A21" s="4" t="s">
        <v>38</v>
      </c>
    </row>
    <row r="22" spans="1:6" x14ac:dyDescent="0.3">
      <c r="A22" s="1" t="s">
        <v>39</v>
      </c>
    </row>
    <row r="23" spans="1:6" x14ac:dyDescent="0.3">
      <c r="A23" s="2" t="s">
        <v>27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</row>
    <row r="24" spans="1:6" x14ac:dyDescent="0.3">
      <c r="A24" s="3" t="s">
        <v>40</v>
      </c>
      <c r="B24" s="5">
        <f>ROUND(Raw_Data!B8/Raw_Data!B17,2)</f>
        <v>0.35</v>
      </c>
      <c r="C24" s="5">
        <f>ROUND(Raw_Data!C8/Raw_Data!C17,2)</f>
        <v>0.46</v>
      </c>
      <c r="D24" s="5">
        <f>ROUND(Raw_Data!D8/Raw_Data!D17,2)</f>
        <v>0.55000000000000004</v>
      </c>
      <c r="E24" s="5">
        <f>ROUND(Raw_Data!E8/Raw_Data!E17,2)</f>
        <v>0.51</v>
      </c>
      <c r="F24" s="5">
        <f>ROUND(Raw_Data!F8/Raw_Data!F17,2)</f>
        <v>0.49</v>
      </c>
    </row>
    <row r="25" spans="1:6" x14ac:dyDescent="0.3">
      <c r="A25" s="3" t="s">
        <v>41</v>
      </c>
      <c r="B25" s="5">
        <f>ROUND(365/Raw_Data!B20,2)</f>
        <v>3.58</v>
      </c>
      <c r="C25" s="5">
        <f>ROUND(365/Raw_Data!C20,2)</f>
        <v>4.4000000000000004</v>
      </c>
      <c r="D25" s="5">
        <f>ROUND(365/Raw_Data!D20,2)</f>
        <v>4.2</v>
      </c>
      <c r="E25" s="5">
        <f>ROUND(365/Raw_Data!E20,2)</f>
        <v>3.84</v>
      </c>
      <c r="F25" s="5">
        <f>ROUND(365/Raw_Data!F20,2)</f>
        <v>4.29</v>
      </c>
    </row>
    <row r="26" spans="1:6" x14ac:dyDescent="0.3">
      <c r="A26" s="3" t="s">
        <v>42</v>
      </c>
      <c r="B26" s="5">
        <f>ROUND(365/Raw_Data!B19,2)</f>
        <v>24.33</v>
      </c>
      <c r="C26" s="5">
        <f>ROUND(365/Raw_Data!C19,2)</f>
        <v>30.42</v>
      </c>
      <c r="D26" s="5">
        <f>ROUND(365/Raw_Data!D19,2)</f>
        <v>30.42</v>
      </c>
      <c r="E26" s="5">
        <f>ROUND(365/Raw_Data!E19,2)</f>
        <v>28.08</v>
      </c>
      <c r="F26" s="5">
        <f>ROUND(365/Raw_Data!F19,2)</f>
        <v>22.81</v>
      </c>
    </row>
    <row r="27" spans="1:6" x14ac:dyDescent="0.3">
      <c r="A27" s="3" t="s">
        <v>43</v>
      </c>
      <c r="B27" s="7">
        <f>Raw_Data!B19</f>
        <v>15</v>
      </c>
      <c r="C27" s="7">
        <f>Raw_Data!C19</f>
        <v>12</v>
      </c>
      <c r="D27" s="7">
        <f>Raw_Data!D19</f>
        <v>12</v>
      </c>
      <c r="E27" s="7">
        <f>Raw_Data!E19</f>
        <v>13</v>
      </c>
      <c r="F27" s="7">
        <f>Raw_Data!F19</f>
        <v>16</v>
      </c>
    </row>
    <row r="30" spans="1:6" ht="15.6" x14ac:dyDescent="0.3">
      <c r="A30" s="4" t="s">
        <v>44</v>
      </c>
    </row>
    <row r="31" spans="1:6" x14ac:dyDescent="0.3">
      <c r="A31" s="1" t="s">
        <v>45</v>
      </c>
    </row>
    <row r="32" spans="1:6" x14ac:dyDescent="0.3">
      <c r="A32" s="2" t="s">
        <v>27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</row>
    <row r="33" spans="1:6" x14ac:dyDescent="0.3">
      <c r="A33" s="3" t="s">
        <v>46</v>
      </c>
      <c r="B33" s="8">
        <f>ROUND(Raw_Data!B15/Raw_Data!B17,3)</f>
        <v>0.21099999999999999</v>
      </c>
      <c r="C33" s="8">
        <f>ROUND(Raw_Data!C15/Raw_Data!C17,3)</f>
        <v>0.21299999999999999</v>
      </c>
      <c r="D33" s="8">
        <f>ROUND(Raw_Data!D15/Raw_Data!D17,3)</f>
        <v>0.28100000000000003</v>
      </c>
      <c r="E33" s="8">
        <f>ROUND(Raw_Data!E15/Raw_Data!E17,3)</f>
        <v>0.2</v>
      </c>
      <c r="F33" s="8">
        <f>ROUND(Raw_Data!F15/Raw_Data!F17,3)</f>
        <v>0.192</v>
      </c>
    </row>
    <row r="34" spans="1:6" x14ac:dyDescent="0.3">
      <c r="A34" s="3" t="s">
        <v>47</v>
      </c>
      <c r="B34" s="8">
        <f>ROUND((Raw_Data!B13+Raw_Data!B14)/Raw_Data!B17,3)</f>
        <v>0.53</v>
      </c>
      <c r="C34" s="8">
        <f>ROUND((Raw_Data!C13+Raw_Data!C14)/Raw_Data!C17,3)</f>
        <v>0.52</v>
      </c>
      <c r="D34" s="8">
        <f>ROUND((Raw_Data!D13+Raw_Data!D14)/Raw_Data!D17,3)</f>
        <v>0.44600000000000001</v>
      </c>
      <c r="E34" s="8">
        <f>ROUND((Raw_Data!E13+Raw_Data!E14)/Raw_Data!E17,3)</f>
        <v>0.45200000000000001</v>
      </c>
      <c r="F34" s="8">
        <f>ROUND((Raw_Data!F13+Raw_Data!F14)/Raw_Data!F17,3)</f>
        <v>0.432</v>
      </c>
    </row>
    <row r="35" spans="1:6" x14ac:dyDescent="0.3">
      <c r="A35" s="3" t="s">
        <v>48</v>
      </c>
      <c r="B35" s="8">
        <f>ROUND(Raw_Data!B15/(Raw_Data!B13+Raw_Data!B14),3)</f>
        <v>0.39800000000000002</v>
      </c>
      <c r="C35" s="8">
        <f>ROUND(Raw_Data!C15/(Raw_Data!C13+Raw_Data!C14),3)</f>
        <v>0.40899999999999997</v>
      </c>
      <c r="D35" s="8">
        <f>ROUND(Raw_Data!D15/(Raw_Data!D13+Raw_Data!D14),3)</f>
        <v>0.63100000000000001</v>
      </c>
      <c r="E35" s="8">
        <f>ROUND(Raw_Data!E15/(Raw_Data!E13+Raw_Data!E14),3)</f>
        <v>0.442</v>
      </c>
      <c r="F35" s="8">
        <f>ROUND(Raw_Data!F15/(Raw_Data!F13+Raw_Data!F14),3)</f>
        <v>0.44400000000000001</v>
      </c>
    </row>
    <row r="38" spans="1:6" ht="15.6" x14ac:dyDescent="0.3">
      <c r="A38" s="4" t="s">
        <v>49</v>
      </c>
    </row>
    <row r="39" spans="1:6" x14ac:dyDescent="0.3">
      <c r="A39" s="1" t="s">
        <v>50</v>
      </c>
    </row>
    <row r="40" spans="1:6" x14ac:dyDescent="0.3">
      <c r="A40" s="2" t="s">
        <v>27</v>
      </c>
      <c r="B40" s="2" t="s">
        <v>2</v>
      </c>
      <c r="C40" s="2" t="s">
        <v>3</v>
      </c>
      <c r="D40" s="2" t="s">
        <v>4</v>
      </c>
      <c r="E40" s="2" t="s">
        <v>5</v>
      </c>
      <c r="F40" s="2" t="s">
        <v>6</v>
      </c>
    </row>
    <row r="41" spans="1:6" x14ac:dyDescent="0.3">
      <c r="A41" s="3" t="s">
        <v>51</v>
      </c>
      <c r="B41" s="5">
        <f>ROUND(Raw_Data!B4/Raw_Data!B11,2)</f>
        <v>0</v>
      </c>
      <c r="C41" s="5">
        <f>ROUND(Raw_Data!B4/Raw_Data!C11,2)</f>
        <v>0</v>
      </c>
      <c r="D41" s="5">
        <f>ROUND(Raw_Data!B4/Raw_Data!D11,2)</f>
        <v>0</v>
      </c>
      <c r="E41" s="5">
        <f>ROUND(Raw_Data!B4/Raw_Data!E11,2)</f>
        <v>0</v>
      </c>
      <c r="F41" s="5">
        <f>ROUND(Raw_Data!B4/Raw_Data!F11,2)</f>
        <v>0</v>
      </c>
    </row>
    <row r="42" spans="1:6" x14ac:dyDescent="0.3">
      <c r="A42" s="3" t="s">
        <v>52</v>
      </c>
      <c r="B42" s="6" t="e">
        <f>ROUND((Raw_Data!B12*Raw_Data!B11)/Raw_Data!B4,4)</f>
        <v>#DIV/0!</v>
      </c>
      <c r="C42" s="6" t="e">
        <f>ROUND((Raw_Data!C12*Raw_Data!C11)/Raw_Data!B4,4)</f>
        <v>#DIV/0!</v>
      </c>
      <c r="D42" s="6" t="e">
        <f>ROUND((Raw_Data!D12*Raw_Data!D11)/Raw_Data!B4,4)</f>
        <v>#DIV/0!</v>
      </c>
      <c r="E42" s="6" t="e">
        <f>ROUND((Raw_Data!E12*Raw_Data!E11)/Raw_Data!B4,4)</f>
        <v>#DIV/0!</v>
      </c>
      <c r="F42" s="6" t="e">
        <f>ROUND((Raw_Data!F12*Raw_Data!F11)/Raw_Data!B4,4)</f>
        <v>#DIV/0!</v>
      </c>
    </row>
    <row r="43" spans="1:6" x14ac:dyDescent="0.3">
      <c r="A43" s="3" t="s">
        <v>53</v>
      </c>
      <c r="B43" s="7" t="e">
        <f>ROUND((Raw_Data!B13+Raw_Data!B14)/(Raw_Data!B13/Raw_Data!B5),0)</f>
        <v>#DIV/0!</v>
      </c>
      <c r="C43" s="7" t="e">
        <f>ROUND((Raw_Data!C13+Raw_Data!C14)/(Raw_Data!C13/Raw_Data!B5),0)</f>
        <v>#DIV/0!</v>
      </c>
      <c r="D43" s="7" t="e">
        <f>ROUND((Raw_Data!D13+Raw_Data!D14)/(Raw_Data!D13/Raw_Data!B5),0)</f>
        <v>#DIV/0!</v>
      </c>
      <c r="E43" s="7" t="e">
        <f>ROUND((Raw_Data!E13+Raw_Data!E14)/(Raw_Data!E13/Raw_Data!B5),0)</f>
        <v>#DIV/0!</v>
      </c>
      <c r="F43" s="7" t="e">
        <f>ROUND((Raw_Data!F13+Raw_Data!F14)/(Raw_Data!F13/Raw_Data!B5),0)</f>
        <v>#DIV/0!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B3" sqref="B3"/>
    </sheetView>
  </sheetViews>
  <sheetFormatPr defaultRowHeight="14.4" x14ac:dyDescent="0.3"/>
  <cols>
    <col min="1" max="1" width="50" customWidth="1"/>
    <col min="2" max="6" width="24" customWidth="1"/>
  </cols>
  <sheetData>
    <row r="1" spans="1:8" ht="18" x14ac:dyDescent="0.35">
      <c r="A1" s="9" t="s">
        <v>64</v>
      </c>
      <c r="B1" s="10"/>
      <c r="C1" s="10"/>
      <c r="D1" s="10"/>
      <c r="E1" s="10"/>
      <c r="F1" s="10"/>
      <c r="G1" s="10"/>
      <c r="H1" s="10"/>
    </row>
    <row r="3" spans="1:8" ht="15.6" x14ac:dyDescent="0.3">
      <c r="A3" s="4" t="s">
        <v>65</v>
      </c>
    </row>
    <row r="4" spans="1:8" x14ac:dyDescent="0.3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</row>
    <row r="5" spans="1:8" ht="28.8" x14ac:dyDescent="0.3">
      <c r="A5" s="3" t="s">
        <v>28</v>
      </c>
      <c r="B5" s="3">
        <f>Calculated_Ratios!B6</f>
        <v>1.34</v>
      </c>
      <c r="C5" s="3">
        <f>Calculated_Ratios!C6</f>
        <v>1.1200000000000001</v>
      </c>
      <c r="D5" s="3">
        <f>Calculated_Ratios!D6</f>
        <v>1.07</v>
      </c>
      <c r="E5" s="3">
        <f>Calculated_Ratios!E6</f>
        <v>1.18</v>
      </c>
      <c r="F5" s="3">
        <f>Calculated_Ratios!F6</f>
        <v>1.1000000000000001</v>
      </c>
    </row>
    <row r="6" spans="1:8" ht="28.8" x14ac:dyDescent="0.3">
      <c r="A6" s="3" t="s">
        <v>29</v>
      </c>
      <c r="B6" s="3">
        <f>Calculated_Ratios!B7</f>
        <v>0.82</v>
      </c>
      <c r="C6" s="3">
        <f>Calculated_Ratios!C7</f>
        <v>0.63</v>
      </c>
      <c r="D6" s="3">
        <f>Calculated_Ratios!D7</f>
        <v>0.72</v>
      </c>
      <c r="E6" s="3">
        <f>Calculated_Ratios!E7</f>
        <v>0.91</v>
      </c>
      <c r="F6" s="3">
        <f>Calculated_Ratios!F7</f>
        <v>0.92</v>
      </c>
    </row>
    <row r="7" spans="1:8" x14ac:dyDescent="0.3">
      <c r="A7" s="3" t="s">
        <v>30</v>
      </c>
      <c r="B7" s="3">
        <f>Calculated_Ratios!B8</f>
        <v>0.06</v>
      </c>
      <c r="C7" s="3">
        <f>Calculated_Ratios!C8</f>
        <v>0.12</v>
      </c>
      <c r="D7" s="3">
        <f>Calculated_Ratios!D8</f>
        <v>0.17</v>
      </c>
      <c r="E7" s="3">
        <f>Calculated_Ratios!E8</f>
        <v>0.24</v>
      </c>
      <c r="F7" s="3">
        <f>Calculated_Ratios!F8</f>
        <v>0.23</v>
      </c>
    </row>
    <row r="8" spans="1:8" x14ac:dyDescent="0.3">
      <c r="A8" s="3" t="s">
        <v>31</v>
      </c>
      <c r="B8" s="3">
        <f>Calculated_Ratios!B9</f>
        <v>0.08</v>
      </c>
      <c r="C8" s="3">
        <f>Calculated_Ratios!C9</f>
        <v>0.28000000000000003</v>
      </c>
      <c r="D8" s="3">
        <f>Calculated_Ratios!D9</f>
        <v>0.26</v>
      </c>
      <c r="E8" s="3">
        <f>Calculated_Ratios!E9</f>
        <v>0.26</v>
      </c>
      <c r="F8" s="3">
        <f>Calculated_Ratios!F9</f>
        <v>0.24</v>
      </c>
    </row>
    <row r="11" spans="1:8" ht="15.6" x14ac:dyDescent="0.3">
      <c r="A11" s="4" t="s">
        <v>60</v>
      </c>
    </row>
    <row r="12" spans="1:8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</row>
    <row r="13" spans="1:8" x14ac:dyDescent="0.3">
      <c r="A13" s="3" t="s">
        <v>34</v>
      </c>
      <c r="B13" s="3">
        <f>Calculated_Ratios!B15</f>
        <v>0.17330000000000001</v>
      </c>
      <c r="C13" s="3">
        <f>Calculated_Ratios!C15</f>
        <v>0.15629999999999999</v>
      </c>
      <c r="D13" s="3">
        <f>Calculated_Ratios!D15</f>
        <v>0.16239999999999999</v>
      </c>
      <c r="E13" s="3">
        <f>Calculated_Ratios!E15</f>
        <v>0.1807</v>
      </c>
      <c r="F13" s="3">
        <f>Calculated_Ratios!F15</f>
        <v>0.17199999999999999</v>
      </c>
    </row>
    <row r="14" spans="1:8" x14ac:dyDescent="0.3">
      <c r="A14" s="3" t="s">
        <v>35</v>
      </c>
      <c r="B14" s="3">
        <f>Calculated_Ratios!B16</f>
        <v>0.1152</v>
      </c>
      <c r="C14" s="3">
        <f>Calculated_Ratios!C16</f>
        <v>9.7699999999999995E-2</v>
      </c>
      <c r="D14" s="3">
        <f>Calculated_Ratios!D16</f>
        <v>8.4500000000000006E-2</v>
      </c>
      <c r="E14" s="3">
        <f>Calculated_Ratios!E16</f>
        <v>8.7900000000000006E-2</v>
      </c>
      <c r="F14" s="3">
        <f>Calculated_Ratios!F16</f>
        <v>8.4400000000000003E-2</v>
      </c>
    </row>
    <row r="15" spans="1:8" x14ac:dyDescent="0.3">
      <c r="A15" s="3" t="s">
        <v>36</v>
      </c>
      <c r="B15" s="3">
        <f>Calculated_Ratios!B17</f>
        <v>4.07E-2</v>
      </c>
      <c r="C15" s="3">
        <f>Calculated_Ratios!C17</f>
        <v>4.53E-2</v>
      </c>
      <c r="D15" s="3">
        <f>Calculated_Ratios!D17</f>
        <v>4.6100000000000002E-2</v>
      </c>
      <c r="E15" s="3">
        <f>Calculated_Ratios!E17</f>
        <v>4.4999999999999998E-2</v>
      </c>
      <c r="F15" s="3">
        <f>Calculated_Ratios!F17</f>
        <v>4.1700000000000001E-2</v>
      </c>
    </row>
    <row r="16" spans="1:8" x14ac:dyDescent="0.3">
      <c r="A16" s="3" t="s">
        <v>37</v>
      </c>
      <c r="B16" s="3">
        <f>Calculated_Ratios!B18</f>
        <v>7.6799999999999993E-2</v>
      </c>
      <c r="C16" s="3">
        <f>Calculated_Ratios!C18</f>
        <v>8.6999999999999994E-2</v>
      </c>
      <c r="D16" s="3">
        <f>Calculated_Ratios!D18</f>
        <v>0.10349999999999999</v>
      </c>
      <c r="E16" s="3">
        <f>Calculated_Ratios!E18</f>
        <v>9.9599999999999994E-2</v>
      </c>
      <c r="F16" s="3">
        <f>Calculated_Ratios!F18</f>
        <v>9.64E-2</v>
      </c>
    </row>
    <row r="19" spans="1:6" ht="15.6" x14ac:dyDescent="0.3">
      <c r="A19" s="4" t="s">
        <v>61</v>
      </c>
    </row>
    <row r="20" spans="1:6" x14ac:dyDescent="0.3">
      <c r="A20" s="2" t="s">
        <v>54</v>
      </c>
      <c r="B20" s="2" t="s">
        <v>55</v>
      </c>
      <c r="C20" s="2" t="s">
        <v>56</v>
      </c>
      <c r="D20" s="2" t="s">
        <v>57</v>
      </c>
      <c r="E20" s="2" t="s">
        <v>58</v>
      </c>
      <c r="F20" s="2" t="s">
        <v>59</v>
      </c>
    </row>
    <row r="21" spans="1:6" x14ac:dyDescent="0.3">
      <c r="A21" s="3" t="s">
        <v>40</v>
      </c>
      <c r="B21" s="3">
        <f>Calculated_Ratios!B24</f>
        <v>0.35</v>
      </c>
      <c r="C21" s="3">
        <f>Calculated_Ratios!C24</f>
        <v>0.46</v>
      </c>
      <c r="D21" s="3">
        <f>Calculated_Ratios!D24</f>
        <v>0.55000000000000004</v>
      </c>
      <c r="E21" s="3">
        <f>Calculated_Ratios!E24</f>
        <v>0.51</v>
      </c>
      <c r="F21" s="3">
        <f>Calculated_Ratios!F24</f>
        <v>0.49</v>
      </c>
    </row>
    <row r="22" spans="1:6" x14ac:dyDescent="0.3">
      <c r="A22" s="3" t="s">
        <v>41</v>
      </c>
      <c r="B22" s="3">
        <f>Calculated_Ratios!B25</f>
        <v>3.58</v>
      </c>
      <c r="C22" s="3">
        <f>Calculated_Ratios!C25</f>
        <v>4.4000000000000004</v>
      </c>
      <c r="D22" s="3">
        <f>Calculated_Ratios!D25</f>
        <v>4.2</v>
      </c>
      <c r="E22" s="3">
        <f>Calculated_Ratios!E25</f>
        <v>3.84</v>
      </c>
      <c r="F22" s="3">
        <f>Calculated_Ratios!F25</f>
        <v>4.29</v>
      </c>
    </row>
    <row r="23" spans="1:6" x14ac:dyDescent="0.3">
      <c r="A23" s="3" t="s">
        <v>42</v>
      </c>
      <c r="B23" s="3">
        <f>Calculated_Ratios!B26</f>
        <v>24.33</v>
      </c>
      <c r="C23" s="3">
        <f>Calculated_Ratios!C26</f>
        <v>30.42</v>
      </c>
      <c r="D23" s="3">
        <f>Calculated_Ratios!D26</f>
        <v>30.42</v>
      </c>
      <c r="E23" s="3">
        <f>Calculated_Ratios!E26</f>
        <v>28.08</v>
      </c>
      <c r="F23" s="3">
        <f>Calculated_Ratios!F26</f>
        <v>22.81</v>
      </c>
    </row>
    <row r="24" spans="1:6" x14ac:dyDescent="0.3">
      <c r="A24" s="3" t="s">
        <v>43</v>
      </c>
      <c r="B24" s="3">
        <f>Calculated_Ratios!B27</f>
        <v>15</v>
      </c>
      <c r="C24" s="3">
        <f>Calculated_Ratios!C27</f>
        <v>12</v>
      </c>
      <c r="D24" s="3">
        <f>Calculated_Ratios!D27</f>
        <v>12</v>
      </c>
      <c r="E24" s="3">
        <f>Calculated_Ratios!E27</f>
        <v>13</v>
      </c>
      <c r="F24" s="3">
        <f>Calculated_Ratios!F27</f>
        <v>16</v>
      </c>
    </row>
    <row r="27" spans="1:6" ht="15.6" x14ac:dyDescent="0.3">
      <c r="A27" s="4" t="s">
        <v>62</v>
      </c>
    </row>
    <row r="28" spans="1:6" x14ac:dyDescent="0.3">
      <c r="A28" s="2" t="s">
        <v>54</v>
      </c>
      <c r="B28" s="2" t="s">
        <v>55</v>
      </c>
      <c r="C28" s="2" t="s">
        <v>56</v>
      </c>
      <c r="D28" s="2" t="s">
        <v>57</v>
      </c>
      <c r="E28" s="2" t="s">
        <v>58</v>
      </c>
      <c r="F28" s="2" t="s">
        <v>59</v>
      </c>
    </row>
    <row r="29" spans="1:6" x14ac:dyDescent="0.3">
      <c r="A29" s="3" t="s">
        <v>46</v>
      </c>
      <c r="B29" s="3">
        <f>Calculated_Ratios!B33</f>
        <v>0.21099999999999999</v>
      </c>
      <c r="C29" s="3">
        <f>Calculated_Ratios!C33</f>
        <v>0.21299999999999999</v>
      </c>
      <c r="D29" s="3">
        <f>Calculated_Ratios!D33</f>
        <v>0.28100000000000003</v>
      </c>
      <c r="E29" s="3">
        <f>Calculated_Ratios!E33</f>
        <v>0.2</v>
      </c>
      <c r="F29" s="3">
        <f>Calculated_Ratios!F33</f>
        <v>0.192</v>
      </c>
    </row>
    <row r="30" spans="1:6" x14ac:dyDescent="0.3">
      <c r="A30" s="3" t="s">
        <v>47</v>
      </c>
      <c r="B30" s="3">
        <f>Calculated_Ratios!B34</f>
        <v>0.53</v>
      </c>
      <c r="C30" s="3">
        <f>Calculated_Ratios!C34</f>
        <v>0.52</v>
      </c>
      <c r="D30" s="3">
        <f>Calculated_Ratios!D34</f>
        <v>0.44600000000000001</v>
      </c>
      <c r="E30" s="3">
        <f>Calculated_Ratios!E34</f>
        <v>0.45200000000000001</v>
      </c>
      <c r="F30" s="3">
        <f>Calculated_Ratios!F34</f>
        <v>0.432</v>
      </c>
    </row>
    <row r="31" spans="1:6" x14ac:dyDescent="0.3">
      <c r="A31" s="3" t="s">
        <v>48</v>
      </c>
      <c r="B31" s="3">
        <f>Calculated_Ratios!B35</f>
        <v>0.39800000000000002</v>
      </c>
      <c r="C31" s="3">
        <f>Calculated_Ratios!C35</f>
        <v>0.40899999999999997</v>
      </c>
      <c r="D31" s="3">
        <f>Calculated_Ratios!D35</f>
        <v>0.63100000000000001</v>
      </c>
      <c r="E31" s="3">
        <f>Calculated_Ratios!E35</f>
        <v>0.442</v>
      </c>
      <c r="F31" s="3">
        <f>Calculated_Ratios!F35</f>
        <v>0.44400000000000001</v>
      </c>
    </row>
    <row r="34" spans="1:6" ht="15.6" x14ac:dyDescent="0.3">
      <c r="A34" s="4" t="s">
        <v>63</v>
      </c>
    </row>
    <row r="35" spans="1:6" x14ac:dyDescent="0.3">
      <c r="A35" s="2" t="s">
        <v>54</v>
      </c>
      <c r="B35" s="2" t="s">
        <v>55</v>
      </c>
      <c r="C35" s="2" t="s">
        <v>56</v>
      </c>
      <c r="D35" s="2" t="s">
        <v>57</v>
      </c>
      <c r="E35" s="2" t="s">
        <v>58</v>
      </c>
      <c r="F35" s="2" t="s">
        <v>59</v>
      </c>
    </row>
    <row r="36" spans="1:6" x14ac:dyDescent="0.3">
      <c r="A36" s="3" t="s">
        <v>51</v>
      </c>
      <c r="B36" s="3">
        <f>Calculated_Ratios!B41</f>
        <v>0</v>
      </c>
      <c r="C36" s="3">
        <f>Calculated_Ratios!C41</f>
        <v>0</v>
      </c>
      <c r="D36" s="3">
        <f>Calculated_Ratios!D41</f>
        <v>0</v>
      </c>
      <c r="E36" s="3">
        <f>Calculated_Ratios!E41</f>
        <v>0</v>
      </c>
      <c r="F36" s="3">
        <f>Calculated_Ratios!F41</f>
        <v>0</v>
      </c>
    </row>
    <row r="37" spans="1:6" x14ac:dyDescent="0.3">
      <c r="A37" s="3" t="s">
        <v>52</v>
      </c>
      <c r="B37" s="3" t="e">
        <f>Calculated_Ratios!B42</f>
        <v>#DIV/0!</v>
      </c>
      <c r="C37" s="3" t="e">
        <f>Calculated_Ratios!C42</f>
        <v>#DIV/0!</v>
      </c>
      <c r="D37" s="3" t="e">
        <f>Calculated_Ratios!D42</f>
        <v>#DIV/0!</v>
      </c>
      <c r="E37" s="3" t="e">
        <f>Calculated_Ratios!E42</f>
        <v>#DIV/0!</v>
      </c>
      <c r="F37" s="3" t="e">
        <f>Calculated_Ratios!F42</f>
        <v>#DIV/0!</v>
      </c>
    </row>
    <row r="38" spans="1:6" x14ac:dyDescent="0.3">
      <c r="A38" s="3" t="s">
        <v>53</v>
      </c>
      <c r="B38" s="3" t="e">
        <f>Calculated_Ratios!B43</f>
        <v>#DIV/0!</v>
      </c>
      <c r="C38" s="3" t="e">
        <f>Calculated_Ratios!C43</f>
        <v>#DIV/0!</v>
      </c>
      <c r="D38" s="3" t="e">
        <f>Calculated_Ratios!D43</f>
        <v>#DIV/0!</v>
      </c>
      <c r="E38" s="3" t="e">
        <f>Calculated_Ratios!E43</f>
        <v>#DIV/0!</v>
      </c>
      <c r="F38" s="3" t="e">
        <f>Calculated_Ratios!F43</f>
        <v>#DIV/0!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Calculated_Ratios</vt:lpstr>
      <vt:lpstr>PPT_Link_Table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harsha jakka</cp:lastModifiedBy>
  <dcterms:created xsi:type="dcterms:W3CDTF">2025-12-13T05:53:43Z</dcterms:created>
  <dcterms:modified xsi:type="dcterms:W3CDTF">2025-12-14T06:06:31Z</dcterms:modified>
</cp:coreProperties>
</file>